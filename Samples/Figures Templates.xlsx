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al Budget" sheetId="1" r:id="rId1"/>
    <sheet name="Invoice" sheetId="2" r:id="rId2"/>
    <sheet name="Checklist" sheetId="3" r:id="rId3"/>
    <sheet name="Weekly Planner" sheetId="4" r:id="rId4"/>
    <sheet name="Grade Book" sheetId="5" r:id="rId5"/>
    <sheet name="Reading List" sheetId="6" r:id="rId6"/>
  </sheets>
  <calcPr calcId="191029" fullCalcOnLoad="1"/>
</workbook>
</file>

<file path=xl/styles.xml><?xml version="1.0" encoding="utf-8"?>
<styleSheet xmlns="http://schemas.openxmlformats.org/spreadsheetml/2006/main">
  <numFmts count="4">
    <numFmt numFmtId="164" formatCode="mmmm d, yyyy"/>
    <numFmt numFmtId="165" formatCode="mmm d"/>
    <numFmt numFmtId="166" formatCode="h AM/PM"/>
    <numFmt numFmtId="167" formatCode="0.0"/>
  </numFmts>
  <fonts count="8">
    <font>
      <sz val="11"/>
      <name val="Calibri"/>
    </font>
    <font>
      <b/>
      <sz val="20"/>
      <color rgb="FF44546A"/>
      <name val="Calibri"/>
    </font>
    <font>
      <i/>
      <sz val="11"/>
      <color rgb="FF7F7F7F"/>
      <name val="Calibri"/>
    </font>
    <font>
      <b/>
      <sz val="11"/>
      <color rgb="FFFFFFFF"/>
      <name val="Calibri"/>
    </font>
    <font>
      <b/>
      <sz val="11"/>
      <name val="Calibri"/>
    </font>
    <font>
      <b/>
      <sz val="13"/>
      <name val="Calibri"/>
    </font>
    <font>
      <i/>
      <sz val="11"/>
      <color rgb="FF44546A"/>
      <name val="Calibri"/>
    </font>
    <font>
      <sz val="11"/>
      <color rgb="FF44546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6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4472C4"/>
      </top>
      <bottom style="double">
        <color rgb="FF4472C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0" fillId="0" borderId="1" xfId="0" applyBorder="1"/>
    <xf numFmtId="44" fontId="0" fillId="0" borderId="1" xfId="0" applyNumberFormat="1" applyBorder="1"/>
    <xf numFmtId="0" fontId="0" fillId="3" borderId="1" xfId="0" applyFill="1" applyBorder="1"/>
    <xf numFmtId="44" fontId="0" fillId="3" borderId="1" xfId="0" applyNumberFormat="1" applyFill="1" applyBorder="1"/>
    <xf numFmtId="0" fontId="4" fillId="0" borderId="2" xfId="0" applyFont="1" applyBorder="1"/>
    <xf numFmtId="44" fontId="4" fillId="0" borderId="2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44" fontId="0" fillId="0" borderId="0" xfId="0" applyNumberFormat="1"/>
    <xf numFmtId="9" fontId="0" fillId="0" borderId="0" xfId="0" applyNumberFormat="1"/>
    <xf numFmtId="0" fontId="5" fillId="0" borderId="0" xfId="0" applyFont="1" applyAlignment="1">
      <alignment horizontal="right"/>
    </xf>
    <xf numFmtId="44" fontId="5" fillId="0" borderId="2" xfId="0" applyNumberFormat="1" applyFont="1" applyBorder="1"/>
    <xf numFmtId="0" fontId="6" fillId="0" borderId="0" xfId="0" applyFont="1"/>
    <xf numFmtId="9" fontId="4" fillId="0" borderId="0" xfId="0" applyNumberFormat="1" applyFont="1"/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/>
    <xf numFmtId="166" fontId="7" fillId="0" borderId="1" xfId="0" applyNumberFormat="1" applyFont="1" applyBorder="1"/>
    <xf numFmtId="0" fontId="0" fillId="0" borderId="1" xfId="0" applyBorder="1" applyAlignment="1">
      <alignment vertical="top" wrapText="1"/>
    </xf>
    <xf numFmtId="166" fontId="7" fillId="3" borderId="1" xfId="0" applyNumberFormat="1" applyFont="1" applyFill="1" applyBorder="1"/>
    <xf numFmtId="0" fontId="0" fillId="3" borderId="1" xfId="0" applyFill="1" applyBorder="1" applyAlignment="1">
      <alignment vertical="top" wrapText="1"/>
    </xf>
    <xf numFmtId="167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strike/>
        <color rgb="FFA6A6A6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.71" customWidth="1"/>
    <col min="2" max="2" width="15.0" customWidth="1"/>
    <col min="3" max="3" width="15.0" customWidth="1"/>
    <col min="4" max="4" width="15.0" customWidth="1"/>
  </cols>
  <sheetData>
    <row r="1" ht="34" customHeight="1">
      <c r="A1" s="1" t="inlineStr">
        <is>
          <t xml:space="preserve">Personal Budget</t>
        </is>
      </c>
    </row>
    <row r="2">
      <c r="A2" s="2" t="inlineStr">
        <is>
          <t xml:space="preserve">Enter what you planned and what you spent; differences update automatically.</t>
        </is>
      </c>
    </row>
    <row r="4">
      <c r="A4" s="3" t="inlineStr">
        <is>
          <t xml:space="preserve">Category</t>
        </is>
      </c>
      <c r="B4" s="4" t="inlineStr">
        <is>
          <t xml:space="preserve">Budget</t>
        </is>
      </c>
      <c r="C4" s="4" t="inlineStr">
        <is>
          <t xml:space="preserve">Actual</t>
        </is>
      </c>
      <c r="D4" s="4" t="inlineStr">
        <is>
          <t xml:space="preserve">Difference</t>
        </is>
      </c>
    </row>
    <row r="5">
      <c r="A5" s="5" t="inlineStr">
        <is>
          <t xml:space="preserve">Housing</t>
        </is>
      </c>
      <c r="B5" s="6">
        <v>1500</v>
      </c>
      <c r="C5" s="6">
        <v>1500</v>
      </c>
      <c r="D5" s="6">
        <f>B5-C5</f>
        <v>0</v>
      </c>
    </row>
    <row r="6">
      <c r="A6" s="7" t="inlineStr">
        <is>
          <t xml:space="preserve">Groceries</t>
        </is>
      </c>
      <c r="B6" s="8">
        <v>600</v>
      </c>
      <c r="C6" s="8">
        <v>640</v>
      </c>
      <c r="D6" s="8">
        <f>B6-C6</f>
        <v>-40</v>
      </c>
    </row>
    <row r="7">
      <c r="A7" s="5" t="inlineStr">
        <is>
          <t xml:space="preserve">Transport</t>
        </is>
      </c>
      <c r="B7" s="6">
        <v>250</v>
      </c>
      <c r="C7" s="6">
        <v>210</v>
      </c>
      <c r="D7" s="6">
        <f>B7-C7</f>
        <v>40</v>
      </c>
    </row>
    <row r="8">
      <c r="A8" s="7" t="inlineStr">
        <is>
          <t xml:space="preserve">Utilities</t>
        </is>
      </c>
      <c r="B8" s="8">
        <v>200</v>
      </c>
      <c r="C8" s="8">
        <v>185</v>
      </c>
      <c r="D8" s="8">
        <f>B8-C8</f>
        <v>15</v>
      </c>
    </row>
    <row r="9">
      <c r="A9" s="5" t="inlineStr">
        <is>
          <t xml:space="preserve">Health</t>
        </is>
      </c>
      <c r="B9" s="6">
        <v>120</v>
      </c>
      <c r="C9" s="6">
        <v>90</v>
      </c>
      <c r="D9" s="6">
        <f>B9-C9</f>
        <v>30</v>
      </c>
    </row>
    <row r="10">
      <c r="A10" s="7" t="inlineStr">
        <is>
          <t xml:space="preserve">Entertainment</t>
        </is>
      </c>
      <c r="B10" s="8">
        <v>150</v>
      </c>
      <c r="C10" s="8">
        <v>205</v>
      </c>
      <c r="D10" s="8">
        <f>B10-C10</f>
        <v>-55</v>
      </c>
    </row>
    <row r="11">
      <c r="A11" s="5" t="inlineStr">
        <is>
          <t xml:space="preserve">Savings</t>
        </is>
      </c>
      <c r="B11" s="6">
        <v>500</v>
      </c>
      <c r="C11" s="6">
        <v>500</v>
      </c>
      <c r="D11" s="6">
        <f>B11-C11</f>
        <v>0</v>
      </c>
    </row>
    <row r="12">
      <c r="A12" s="7" t="inlineStr">
        <is>
          <t xml:space="preserve">Other</t>
        </is>
      </c>
      <c r="B12" s="8">
        <v>100</v>
      </c>
      <c r="C12" s="8">
        <v>60</v>
      </c>
      <c r="D12" s="8">
        <f>B12-C12</f>
        <v>40</v>
      </c>
    </row>
    <row r="13">
      <c r="A13" s="9" t="inlineStr">
        <is>
          <t xml:space="preserve">Total</t>
        </is>
      </c>
      <c r="B13" s="10">
        <f>SUM(B5:B12)</f>
        <v>3420</v>
      </c>
      <c r="C13" s="10">
        <f>SUM(C5:C12)</f>
        <v>3390</v>
      </c>
      <c r="D13" s="10">
        <f>SUM(D5:D12)</f>
        <v>30</v>
      </c>
    </row>
  </sheetData>
  <mergeCells count="1">
    <mergeCell ref="A1:D1"/>
  </mergeCells>
  <conditionalFormatting sqref="D5:D12">
    <cfRule priority="1" dxfId="0" type="cellIs" operator="lessThan">
      <formula>0</formula>
    </cfRule>
  </conditionalFormatting>
  <conditionalFormatting sqref="C5:C12">
    <cfRule priority="2" type="dataBar">
      <dataBar>
        <cfvo type="min"/>
        <cfvo type="max"/>
        <color rgb="FF638EC6"/>
      </dataBar>
    </cfRule>
  </conditionalFormatting>
</worksheet>
</file>

<file path=xl/worksheets/sheet2.xml><?xml version="1.0" encoding="utf-8"?>
<worksheet xmlns="http://schemas.openxmlformats.org/spreadsheetml/2006/main">
  <sheetFormatPr defaultRowHeight="15"/>
  <cols>
    <col min="1" max="1" width="30.71" customWidth="1"/>
    <col min="2" max="2" width="10.71" customWidth="1"/>
    <col min="3" max="3" width="15.0" customWidth="1"/>
    <col min="4" max="4" width="16.43" customWidth="1"/>
  </cols>
  <sheetData>
    <row r="1" ht="34" customHeight="1">
      <c r="A1" s="1" t="inlineStr">
        <is>
          <t xml:space="preserve">Invoice</t>
        </is>
      </c>
    </row>
    <row r="2">
      <c r="A2" s="2" t="inlineStr">
        <is>
          <t xml:space="preserve">[Your Company] · [Street, City] · [Email]</t>
        </is>
      </c>
    </row>
    <row r="4">
      <c r="A4" s="11" t="inlineStr">
        <is>
          <t xml:space="preserve">Bill to</t>
        </is>
      </c>
      <c r="C4" s="12" t="inlineStr">
        <is>
          <t xml:space="preserve">Invoice #</t>
        </is>
      </c>
      <c r="D4" s="13" t="inlineStr">
        <is>
          <t xml:space="preserve">0001</t>
        </is>
      </c>
    </row>
    <row r="5">
      <c r="A5" t="inlineStr">
        <is>
          <t xml:space="preserve">[Client name]</t>
        </is>
      </c>
      <c r="C5" s="12" t="inlineStr">
        <is>
          <t xml:space="preserve">Date</t>
        </is>
      </c>
      <c r="D5" s="14">
        <f>TODAY()</f>
        <v>46313</v>
      </c>
    </row>
    <row r="6">
      <c r="A6" t="inlineStr">
        <is>
          <t xml:space="preserve">[Client address]</t>
        </is>
      </c>
      <c r="C6" s="12" t="inlineStr">
        <is>
          <t xml:space="preserve">Due</t>
        </is>
      </c>
      <c r="D6" s="14">
        <f>D5+30</f>
        <v>46343</v>
      </c>
    </row>
    <row r="8">
      <c r="A8" s="3" t="inlineStr">
        <is>
          <t xml:space="preserve">Description</t>
        </is>
      </c>
      <c r="B8" s="4" t="inlineStr">
        <is>
          <t xml:space="preserve">Quantity</t>
        </is>
      </c>
      <c r="C8" s="4" t="inlineStr">
        <is>
          <t xml:space="preserve">Unit Price</t>
        </is>
      </c>
      <c r="D8" s="4" t="inlineStr">
        <is>
          <t xml:space="preserve">Amount</t>
        </is>
      </c>
    </row>
    <row r="9">
      <c r="A9" s="5" t="inlineStr">
        <is>
          <t xml:space="preserve">Design consultation</t>
        </is>
      </c>
      <c r="B9" s="5">
        <v>2</v>
      </c>
      <c r="C9" s="6">
        <v>150</v>
      </c>
      <c r="D9" s="6">
        <f>B9*C9</f>
        <v>300</v>
      </c>
    </row>
    <row r="10">
      <c r="A10" s="7" t="inlineStr">
        <is>
          <t xml:space="preserve">Website build</t>
        </is>
      </c>
      <c r="B10" s="7">
        <v>1</v>
      </c>
      <c r="C10" s="8">
        <v>1800</v>
      </c>
      <c r="D10" s="8">
        <f>B10*C10</f>
        <v>1800</v>
      </c>
    </row>
    <row r="11">
      <c r="A11" s="5" t="inlineStr">
        <is>
          <t xml:space="preserve">Hosting (12 months)</t>
        </is>
      </c>
      <c r="B11" s="5">
        <v>1</v>
      </c>
      <c r="C11" s="6">
        <v>240</v>
      </c>
      <c r="D11" s="6">
        <f>B11*C11</f>
        <v>240</v>
      </c>
    </row>
    <row r="12">
      <c r="A12" s="7"/>
      <c r="B12" s="7"/>
      <c r="C12" s="8"/>
      <c r="D12" s="8">
        <f>B12*C12</f>
        <v>0</v>
      </c>
    </row>
    <row r="13">
      <c r="A13" s="5"/>
      <c r="B13" s="5"/>
      <c r="C13" s="6"/>
      <c r="D13" s="6">
        <f>B13*C13</f>
        <v>0</v>
      </c>
    </row>
    <row r="14">
      <c r="C14" s="12" t="inlineStr">
        <is>
          <t xml:space="preserve">Subtotal</t>
        </is>
      </c>
      <c r="D14" s="15">
        <f>SUM(D9:D13)</f>
        <v>2340</v>
      </c>
    </row>
    <row r="15">
      <c r="B15" s="16">
        <v>0.08</v>
      </c>
      <c r="C15" s="12" t="inlineStr">
        <is>
          <t xml:space="preserve">Tax</t>
        </is>
      </c>
      <c r="D15" s="15">
        <f>D14*B15</f>
        <v>187.20000000000002</v>
      </c>
    </row>
    <row r="16">
      <c r="C16" s="17" t="inlineStr">
        <is>
          <t xml:space="preserve">Total due</t>
        </is>
      </c>
      <c r="D16" s="18">
        <f>D14+D15</f>
        <v>2527.2</v>
      </c>
    </row>
    <row r="18">
      <c r="A18" s="19" t="inlineStr">
        <is>
          <t xml:space="preserve">Thank you for your business. Payment is due within 30 days.</t>
        </is>
      </c>
    </row>
  </sheetData>
  <mergeCells count="1">
    <mergeCell ref="A1:D1"/>
  </mergeCells>
  <extLst>
    <ext xmlns:fig="https://github.com/tariknaeem/Figures/controls" uri="{3F1D8C2A-6B4E-4E8F-9A7C-2D5B1E0F4A6C}">
      <fig:controls>
        <fig:control sqref="B9:B13" type="stepper" min="0" max="999" step="1"/>
      </fig:controls>
    </ext>
  </extLst>
</worksheet>
</file>

<file path=xl/worksheets/sheet3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sheetFormatPr defaultRowHeight="15"/>
  <cols>
    <col min="1" max="1" width="6.43" customWidth="1"/>
    <col min="2" max="2" width="30.71" customWidth="1"/>
    <col min="3" max="3" width="12.14" customWidth="1"/>
    <col min="4" max="4" width="10.71" customWidth="1"/>
  </cols>
  <sheetData>
    <row r="1" ht="34" customHeight="1">
      <c r="A1" s="1" t="inlineStr">
        <is>
          <t xml:space="preserve">Checklist</t>
        </is>
      </c>
    </row>
    <row r="2">
      <c r="A2" s="2" t="inlineStr">
        <is>
          <t xml:space="preserve">Tick tasks off as you go; finished tasks fade and progress updates.</t>
        </is>
      </c>
    </row>
    <row r="3">
      <c r="A3" s="11" t="inlineStr">
        <is>
          <t xml:space="preserve">Progress</t>
        </is>
      </c>
      <c r="B3" s="20">
        <f>IFERROR(COUNTIF(A6:A20,TRUE)/COUNTA(B6:B20),0)</f>
        <v>0.2</v>
      </c>
    </row>
    <row r="5">
      <c r="A5" s="21" t="inlineStr">
        <is>
          <t xml:space="preserve">Done</t>
        </is>
      </c>
      <c r="B5" s="3" t="inlineStr">
        <is>
          <t xml:space="preserve">Task</t>
        </is>
      </c>
      <c r="C5" s="3" t="inlineStr">
        <is>
          <t xml:space="preserve">Priority</t>
        </is>
      </c>
      <c r="D5" s="3" t="inlineStr">
        <is>
          <t xml:space="preserve">Due</t>
        </is>
      </c>
    </row>
    <row r="6">
      <c r="A6" s="22" t="b">
        <v>1</v>
      </c>
      <c r="B6" s="5" t="inlineStr">
        <is>
          <t xml:space="preserve">Book flights</t>
        </is>
      </c>
      <c r="C6" s="5" t="inlineStr">
        <is>
          <t xml:space="preserve">High</t>
        </is>
      </c>
      <c r="D6" s="23">
        <f>TODAY()+0</f>
        <v>46313</v>
      </c>
    </row>
    <row r="7">
      <c r="A7" s="24" t="b">
        <v>0</v>
      </c>
      <c r="B7" s="7" t="inlineStr">
        <is>
          <t xml:space="preserve">Renew passport</t>
        </is>
      </c>
      <c r="C7" s="7" t="inlineStr">
        <is>
          <t xml:space="preserve">High</t>
        </is>
      </c>
      <c r="D7" s="25">
        <f>TODAY()+3</f>
        <v>46316</v>
      </c>
    </row>
    <row r="8">
      <c r="A8" s="22" t="b">
        <v>0</v>
      </c>
      <c r="B8" s="5" t="inlineStr">
        <is>
          <t xml:space="preserve">Plan itinerary</t>
        </is>
      </c>
      <c r="C8" s="5" t="inlineStr">
        <is>
          <t xml:space="preserve">Medium</t>
        </is>
      </c>
      <c r="D8" s="23">
        <f>TODAY()+7</f>
        <v>46320</v>
      </c>
    </row>
    <row r="9">
      <c r="A9" s="24" t="b">
        <v>0</v>
      </c>
      <c r="B9" s="7" t="inlineStr">
        <is>
          <t xml:space="preserve">Pack bags</t>
        </is>
      </c>
      <c r="C9" s="7" t="inlineStr">
        <is>
          <t xml:space="preserve">Low</t>
        </is>
      </c>
      <c r="D9" s="25">
        <f>TODAY()+12</f>
        <v>46325</v>
      </c>
    </row>
    <row r="10">
      <c r="A10" s="22" t="b">
        <v>0</v>
      </c>
      <c r="B10" s="5" t="inlineStr">
        <is>
          <t xml:space="preserve">Arrange pet sitter</t>
        </is>
      </c>
      <c r="C10" s="5" t="inlineStr">
        <is>
          <t xml:space="preserve">Medium</t>
        </is>
      </c>
      <c r="D10" s="23">
        <f>TODAY()+10</f>
        <v>46323</v>
      </c>
    </row>
    <row r="11">
      <c r="A11" s="24" t="b">
        <v>0</v>
      </c>
      <c r="B11" s="7"/>
      <c r="C11" s="7"/>
      <c r="D11" s="25"/>
    </row>
    <row r="12">
      <c r="A12" s="22" t="b">
        <v>0</v>
      </c>
      <c r="B12" s="5"/>
      <c r="C12" s="5"/>
      <c r="D12" s="23"/>
    </row>
    <row r="13">
      <c r="A13" s="24" t="b">
        <v>0</v>
      </c>
      <c r="B13" s="7"/>
      <c r="C13" s="7"/>
      <c r="D13" s="25"/>
    </row>
    <row r="14">
      <c r="A14" s="22" t="b">
        <v>0</v>
      </c>
      <c r="B14" s="5"/>
      <c r="C14" s="5"/>
      <c r="D14" s="23"/>
    </row>
    <row r="15">
      <c r="A15" s="24" t="b">
        <v>0</v>
      </c>
      <c r="B15" s="7"/>
      <c r="C15" s="7"/>
      <c r="D15" s="25"/>
    </row>
    <row r="16">
      <c r="A16" s="22" t="b">
        <v>0</v>
      </c>
      <c r="B16" s="5"/>
      <c r="C16" s="5"/>
      <c r="D16" s="23"/>
    </row>
    <row r="17">
      <c r="A17" s="24" t="b">
        <v>0</v>
      </c>
      <c r="B17" s="7"/>
      <c r="C17" s="7"/>
      <c r="D17" s="25"/>
    </row>
    <row r="18">
      <c r="A18" s="22" t="b">
        <v>0</v>
      </c>
      <c r="B18" s="5"/>
      <c r="C18" s="5"/>
      <c r="D18" s="23"/>
    </row>
    <row r="19">
      <c r="A19" s="24" t="b">
        <v>0</v>
      </c>
      <c r="B19" s="7"/>
      <c r="C19" s="7"/>
      <c r="D19" s="25"/>
    </row>
    <row r="20">
      <c r="A20" s="22" t="b">
        <v>0</v>
      </c>
      <c r="B20" s="5"/>
      <c r="C20" s="5"/>
      <c r="D20" s="23"/>
    </row>
  </sheetData>
  <mergeCells count="1">
    <mergeCell ref="A1:D1"/>
  </mergeCells>
  <conditionalFormatting sqref="B6:D20">
    <cfRule priority="1" dxfId="1" type="expression">
      <formula>$A6=TRUE</formula>
    </cfRule>
  </conditionalFormatting>
  <conditionalFormatting sqref="C6:C20">
    <cfRule priority="2" dxfId="0" type="cellIs" operator="equal">
      <formula>"High"</formula>
    </cfRule>
  </conditionalFormatting>
  <dataValidations count="1">
    <dataValidation type="list" allowBlank="1" showErrorMessage="1" sqref="C6:C20">
      <formula1>"High,Medium,Low"</formula1>
    </dataValidation>
  </dataValidations>
  <extLst>
    <ext xmlns:fig="https://github.com/tariknaeem/Figures/controls" uri="{3F1D8C2A-6B4E-4E8F-9A7C-2D5B1E0F4A6C}">
      <fig:controls>
        <fig:control sqref="A6:A20" type="checkbox"/>
      </fig:controls>
    </ext>
  </extLst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9.29" customWidth="1"/>
    <col min="2" max="2" width="15.0" customWidth="1"/>
    <col min="3" max="3" width="15.0" customWidth="1"/>
    <col min="4" max="4" width="15.0" customWidth="1"/>
    <col min="5" max="5" width="15.0" customWidth="1"/>
    <col min="6" max="6" width="15.0" customWidth="1"/>
    <col min="7" max="7" width="15.0" customWidth="1"/>
    <col min="8" max="8" width="15.0" customWidth="1"/>
  </cols>
  <sheetData>
    <row r="1" ht="34" customHeight="1">
      <c r="A1" s="1" t="inlineStr">
        <is>
          <t xml:space="preserve">Weekly Planner</t>
        </is>
      </c>
    </row>
    <row r="2">
      <c r="A2" s="2" t="inlineStr">
        <is>
          <t xml:space="preserve">One row per hour from 8 AM to 6 PM.</t>
        </is>
      </c>
    </row>
    <row r="4">
      <c r="A4" s="21" t="inlineStr">
        <is>
          <t xml:space="preserve">Time</t>
        </is>
      </c>
      <c r="B4" s="21" t="inlineStr">
        <is>
          <t xml:space="preserve">Monday</t>
        </is>
      </c>
      <c r="C4" s="21" t="inlineStr">
        <is>
          <t xml:space="preserve">Tuesday</t>
        </is>
      </c>
      <c r="D4" s="21" t="inlineStr">
        <is>
          <t xml:space="preserve">Wednesday</t>
        </is>
      </c>
      <c r="E4" s="21" t="inlineStr">
        <is>
          <t xml:space="preserve">Thursday</t>
        </is>
      </c>
      <c r="F4" s="21" t="inlineStr">
        <is>
          <t xml:space="preserve">Friday</t>
        </is>
      </c>
      <c r="G4" s="21" t="inlineStr">
        <is>
          <t xml:space="preserve">Saturday</t>
        </is>
      </c>
      <c r="H4" s="21" t="inlineStr">
        <is>
          <t xml:space="preserve">Sunday</t>
        </is>
      </c>
    </row>
    <row r="5" ht="30" customHeight="1">
      <c r="A5" s="26">
        <v>0.3333333333333333</v>
      </c>
      <c r="B5" s="27"/>
      <c r="C5" s="27"/>
      <c r="D5" s="27"/>
      <c r="E5" s="27"/>
      <c r="F5" s="27"/>
      <c r="G5" s="27"/>
      <c r="H5" s="27"/>
    </row>
    <row r="6" ht="30" customHeight="1">
      <c r="A6" s="28">
        <v>0.375</v>
      </c>
      <c r="B6" s="29" t="inlineStr">
        <is>
          <t xml:space="preserve">Team meeting</t>
        </is>
      </c>
      <c r="C6" s="29"/>
      <c r="D6" s="29"/>
      <c r="E6" s="29"/>
      <c r="F6" s="29"/>
      <c r="G6" s="29"/>
      <c r="H6" s="29"/>
    </row>
    <row r="7" ht="30" customHeight="1">
      <c r="A7" s="26">
        <v>0.4166666666666667</v>
      </c>
      <c r="B7" s="27"/>
      <c r="C7" s="27"/>
      <c r="D7" s="27"/>
      <c r="E7" s="27"/>
      <c r="F7" s="27" t="inlineStr">
        <is>
          <t xml:space="preserve">Gym</t>
        </is>
      </c>
      <c r="G7" s="27"/>
      <c r="H7" s="27"/>
    </row>
    <row r="8" ht="30" customHeight="1">
      <c r="A8" s="28">
        <v>0.4583333333333333</v>
      </c>
      <c r="B8" s="29"/>
      <c r="C8" s="29"/>
      <c r="D8" s="29"/>
      <c r="E8" s="29"/>
      <c r="F8" s="29"/>
      <c r="G8" s="29"/>
      <c r="H8" s="29"/>
    </row>
    <row r="9" ht="30" customHeight="1">
      <c r="A9" s="26">
        <v>0.5</v>
      </c>
      <c r="B9" s="27"/>
      <c r="C9" s="27"/>
      <c r="D9" s="27" t="inlineStr">
        <is>
          <t xml:space="preserve">Lunch with Sam</t>
        </is>
      </c>
      <c r="E9" s="27"/>
      <c r="F9" s="27"/>
      <c r="G9" s="27"/>
      <c r="H9" s="27"/>
    </row>
    <row r="10" ht="30" customHeight="1">
      <c r="A10" s="28">
        <v>0.5416666666666666</v>
      </c>
      <c r="B10" s="29"/>
      <c r="C10" s="29"/>
      <c r="D10" s="29"/>
      <c r="E10" s="29"/>
      <c r="F10" s="29"/>
      <c r="G10" s="29"/>
      <c r="H10" s="29"/>
    </row>
    <row r="11" ht="30" customHeight="1">
      <c r="A11" s="26">
        <v>0.5833333333333334</v>
      </c>
      <c r="B11" s="27"/>
      <c r="C11" s="27"/>
      <c r="D11" s="27"/>
      <c r="E11" s="27"/>
      <c r="F11" s="27"/>
      <c r="G11" s="27"/>
      <c r="H11" s="27"/>
    </row>
    <row r="12" ht="30" customHeight="1">
      <c r="A12" s="28">
        <v>0.625</v>
      </c>
      <c r="B12" s="29"/>
      <c r="C12" s="29"/>
      <c r="D12" s="29"/>
      <c r="E12" s="29"/>
      <c r="F12" s="29"/>
      <c r="G12" s="29"/>
      <c r="H12" s="29"/>
    </row>
    <row r="13" ht="30" customHeight="1">
      <c r="A13" s="26">
        <v>0.6666666666666666</v>
      </c>
      <c r="B13" s="27"/>
      <c r="C13" s="27"/>
      <c r="D13" s="27"/>
      <c r="E13" s="27"/>
      <c r="F13" s="27"/>
      <c r="G13" s="27"/>
      <c r="H13" s="27"/>
    </row>
    <row r="14" ht="30" customHeight="1">
      <c r="A14" s="28">
        <v>0.7083333333333334</v>
      </c>
      <c r="B14" s="29"/>
      <c r="C14" s="29"/>
      <c r="D14" s="29"/>
      <c r="E14" s="29"/>
      <c r="F14" s="29"/>
      <c r="G14" s="29"/>
      <c r="H14" s="29"/>
    </row>
    <row r="15" ht="30" customHeight="1">
      <c r="A15" s="26">
        <v>0.75</v>
      </c>
      <c r="B15" s="27"/>
      <c r="C15" s="27"/>
      <c r="D15" s="27"/>
      <c r="E15" s="27"/>
      <c r="F15" s="27"/>
      <c r="G15" s="27"/>
      <c r="H15" s="27"/>
    </row>
  </sheetData>
  <mergeCells count="1">
    <mergeCell ref="A1:H1"/>
  </mergeCells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86" customWidth="1"/>
  </cols>
  <sheetData>
    <row r="1" ht="34" customHeight="1">
      <c r="A1" s="1" t="inlineStr">
        <is>
          <t xml:space="preserve">Grade Book</t>
        </is>
      </c>
    </row>
    <row r="2">
      <c r="A2" s="2" t="inlineStr">
        <is>
          <t xml:space="preserve">Averages and letter grades update as you enter scores.</t>
        </is>
      </c>
    </row>
    <row r="4">
      <c r="A4" s="3" t="inlineStr">
        <is>
          <t xml:space="preserve">Student</t>
        </is>
      </c>
      <c r="B4" s="21" t="inlineStr">
        <is>
          <t xml:space="preserve">Test 1</t>
        </is>
      </c>
      <c r="C4" s="21" t="inlineStr">
        <is>
          <t xml:space="preserve">Test 2</t>
        </is>
      </c>
      <c r="D4" s="21" t="inlineStr">
        <is>
          <t xml:space="preserve">Test 3</t>
        </is>
      </c>
      <c r="E4" s="21" t="inlineStr">
        <is>
          <t xml:space="preserve">Average</t>
        </is>
      </c>
      <c r="F4" s="21" t="inlineStr">
        <is>
          <t xml:space="preserve">Grade</t>
        </is>
      </c>
    </row>
    <row r="5">
      <c r="A5" s="5" t="inlineStr">
        <is>
          <t xml:space="preserve">Avery</t>
        </is>
      </c>
      <c r="B5" s="22">
        <v>88</v>
      </c>
      <c r="C5" s="22">
        <v>92</v>
      </c>
      <c r="D5" s="22">
        <v>95</v>
      </c>
      <c r="E5" s="30">
        <f>AVERAGE(B5:D5)</f>
        <v>91.66666666666667</v>
      </c>
      <c r="F5" s="31" t="str">
        <f>_xlfn.IFS(E5&gt;=90,"A",E5&gt;=80,"B",E5&gt;=70,"C",E5&gt;=60,"D",TRUE,"F")</f>
        <v>A</v>
      </c>
    </row>
    <row r="6">
      <c r="A6" s="7" t="inlineStr">
        <is>
          <t xml:space="preserve">Blake</t>
        </is>
      </c>
      <c r="B6" s="24">
        <v>72</v>
      </c>
      <c r="C6" s="24">
        <v>68</v>
      </c>
      <c r="D6" s="24">
        <v>80</v>
      </c>
      <c r="E6" s="32">
        <f>AVERAGE(B6:D6)</f>
        <v>73.33333333333333</v>
      </c>
      <c r="F6" s="33" t="str">
        <f>_xlfn.IFS(E6&gt;=90,"A",E6&gt;=80,"B",E6&gt;=70,"C",E6&gt;=60,"D",TRUE,"F")</f>
        <v>C</v>
      </c>
    </row>
    <row r="7">
      <c r="A7" s="5" t="inlineStr">
        <is>
          <t xml:space="preserve">Casey</t>
        </is>
      </c>
      <c r="B7" s="22">
        <v>95</v>
      </c>
      <c r="C7" s="22">
        <v>98</v>
      </c>
      <c r="D7" s="22">
        <v>91</v>
      </c>
      <c r="E7" s="30">
        <f>AVERAGE(B7:D7)</f>
        <v>94.66666666666667</v>
      </c>
      <c r="F7" s="31" t="str">
        <f>_xlfn.IFS(E7&gt;=90,"A",E7&gt;=80,"B",E7&gt;=70,"C",E7&gt;=60,"D",TRUE,"F")</f>
        <v>A</v>
      </c>
    </row>
    <row r="8">
      <c r="A8" s="7" t="inlineStr">
        <is>
          <t xml:space="preserve">Devon</t>
        </is>
      </c>
      <c r="B8" s="24">
        <v>61</v>
      </c>
      <c r="C8" s="24">
        <v>75</v>
      </c>
      <c r="D8" s="24">
        <v>70</v>
      </c>
      <c r="E8" s="32">
        <f>AVERAGE(B8:D8)</f>
        <v>68.66666666666667</v>
      </c>
      <c r="F8" s="33" t="str">
        <f>_xlfn.IFS(E8&gt;=90,"A",E8&gt;=80,"B",E8&gt;=70,"C",E8&gt;=60,"D",TRUE,"F")</f>
        <v>D</v>
      </c>
    </row>
    <row r="9">
      <c r="A9" s="5" t="inlineStr">
        <is>
          <t xml:space="preserve">Emery</t>
        </is>
      </c>
      <c r="B9" s="22">
        <v>83</v>
      </c>
      <c r="C9" s="22">
        <v>79</v>
      </c>
      <c r="D9" s="22">
        <v>88</v>
      </c>
      <c r="E9" s="30">
        <f>AVERAGE(B9:D9)</f>
        <v>83.33333333333333</v>
      </c>
      <c r="F9" s="31" t="str">
        <f>_xlfn.IFS(E9&gt;=90,"A",E9&gt;=80,"B",E9&gt;=70,"C",E9&gt;=60,"D",TRUE,"F")</f>
        <v>B</v>
      </c>
    </row>
    <row r="10">
      <c r="A10" s="7" t="inlineStr">
        <is>
          <t xml:space="preserve">Finley</t>
        </is>
      </c>
      <c r="B10" s="24">
        <v>90</v>
      </c>
      <c r="C10" s="24">
        <v>85</v>
      </c>
      <c r="D10" s="24">
        <v>94</v>
      </c>
      <c r="E10" s="32">
        <f>AVERAGE(B10:D10)</f>
        <v>89.66666666666667</v>
      </c>
      <c r="F10" s="33" t="str">
        <f>_xlfn.IFS(E10&gt;=90,"A",E10&gt;=80,"B",E10&gt;=70,"C",E10&gt;=60,"D",TRUE,"F")</f>
        <v>B</v>
      </c>
    </row>
    <row r="11">
      <c r="A11" s="9" t="inlineStr">
        <is>
          <t xml:space="preserve">Class average</t>
        </is>
      </c>
      <c r="B11" s="34">
        <f>AVERAGE(B5:B10)</f>
        <v>81.5</v>
      </c>
      <c r="C11" s="34">
        <f>AVERAGE(C5:C10)</f>
        <v>82.83333333333333</v>
      </c>
      <c r="D11" s="34">
        <f>AVERAGE(D5:D10)</f>
        <v>86.33333333333333</v>
      </c>
      <c r="E11" s="34">
        <f>AVERAGE(E5:E10)</f>
        <v>83.55555555555556</v>
      </c>
      <c r="F11" s="9"/>
    </row>
  </sheetData>
  <mergeCells count="1">
    <mergeCell ref="A1:F1"/>
  </mergeCells>
  <conditionalFormatting sqref="E5:E10">
    <cfRule priority="1" type="colorScale">
      <colorScale>
        <cfvo type="min"/>
        <cfvo type="percentile" val="50"/>
        <cfvo type="max"/>
        <color rgb="FFF8696B"/>
        <color rgb="FFFFEB84"/>
        <color rgb="FF63BE7B"/>
      </colorScale>
    </cfRule>
  </conditionalFormatting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7.86" customWidth="1"/>
    <col min="2" max="2" width="20.71" customWidth="1"/>
    <col min="3" max="3" width="16.43" customWidth="1"/>
    <col min="4" max="4" width="13.57" customWidth="1"/>
    <col min="5" max="5" width="6.43" customWidth="1"/>
    <col min="7" max="7" width="15.0" customWidth="1"/>
  </cols>
  <sheetData>
    <row r="1" ht="34" customHeight="1">
      <c r="A1" s="1" t="inlineStr">
        <is>
          <t xml:space="preserve">Reading List</t>
        </is>
      </c>
    </row>
    <row r="2">
      <c r="A2" s="2" t="inlineStr">
        <is>
          <t xml:space="preserve">Rate books with stars, pick a genre and tick off what you have read.</t>
        </is>
      </c>
    </row>
    <row r="4">
      <c r="A4" s="3" t="inlineStr">
        <is>
          <t xml:space="preserve">Title</t>
        </is>
      </c>
      <c r="B4" s="3" t="inlineStr">
        <is>
          <t xml:space="preserve">Author</t>
        </is>
      </c>
      <c r="C4" s="3" t="inlineStr">
        <is>
          <t xml:space="preserve">Genre</t>
        </is>
      </c>
      <c r="D4" s="21" t="inlineStr">
        <is>
          <t xml:space="preserve">Rating</t>
        </is>
      </c>
      <c r="E4" s="21" t="inlineStr">
        <is>
          <t xml:space="preserve">Read</t>
        </is>
      </c>
      <c r="G4" s="11" t="inlineStr">
        <is>
          <t xml:space="preserve">Books read</t>
        </is>
      </c>
      <c r="H4">
        <f>COUNTIF(E5:E24,TRUE)</f>
        <v>3</v>
      </c>
    </row>
    <row r="5">
      <c r="A5" s="5" t="inlineStr">
        <is>
          <t xml:space="preserve">Project Hail Mary</t>
        </is>
      </c>
      <c r="B5" s="5" t="inlineStr">
        <is>
          <t xml:space="preserve">Andy Weir</t>
        </is>
      </c>
      <c r="C5" s="5" t="inlineStr">
        <is>
          <t xml:space="preserve">Science Fiction</t>
        </is>
      </c>
      <c r="D5" s="5">
        <v>5</v>
      </c>
      <c r="E5" s="22" t="b">
        <v>1</v>
      </c>
      <c r="G5" s="11" t="inlineStr">
        <is>
          <t xml:space="preserve">Average rating</t>
        </is>
      </c>
      <c r="H5" s="35">
        <f>IFERROR(AVERAGEIF(D5:D24,"&gt;0"),0)</f>
        <v>4.666666666666667</v>
      </c>
    </row>
    <row r="6">
      <c r="A6" s="7" t="inlineStr">
        <is>
          <t xml:space="preserve">The Thursday Murder Club</t>
        </is>
      </c>
      <c r="B6" s="7" t="inlineStr">
        <is>
          <t xml:space="preserve">Richard Osman</t>
        </is>
      </c>
      <c r="C6" s="7" t="inlineStr">
        <is>
          <t xml:space="preserve">Mystery</t>
        </is>
      </c>
      <c r="D6" s="7">
        <v>4</v>
      </c>
      <c r="E6" s="24" t="b">
        <v>1</v>
      </c>
    </row>
    <row r="7">
      <c r="A7" s="5" t="inlineStr">
        <is>
          <t xml:space="preserve">Educated</t>
        </is>
      </c>
      <c r="B7" s="5" t="inlineStr">
        <is>
          <t xml:space="preserve">Tara Westover</t>
        </is>
      </c>
      <c r="C7" s="5" t="inlineStr">
        <is>
          <t xml:space="preserve">Memoir</t>
        </is>
      </c>
      <c r="D7" s="5">
        <v>5</v>
      </c>
      <c r="E7" s="22" t="b">
        <v>1</v>
      </c>
    </row>
    <row r="8">
      <c r="A8" s="7" t="inlineStr">
        <is>
          <t xml:space="preserve">Piranesi</t>
        </is>
      </c>
      <c r="B8" s="7" t="inlineStr">
        <is>
          <t xml:space="preserve">Susanna Clarke</t>
        </is>
      </c>
      <c r="C8" s="7" t="inlineStr">
        <is>
          <t xml:space="preserve">Fantasy</t>
        </is>
      </c>
      <c r="D8" s="7">
        <v>0</v>
      </c>
      <c r="E8" s="24" t="b">
        <v>0</v>
      </c>
    </row>
    <row r="9">
      <c r="A9" s="5" t="inlineStr">
        <is>
          <t xml:space="preserve">Sapiens</t>
        </is>
      </c>
      <c r="B9" s="5" t="inlineStr">
        <is>
          <t xml:space="preserve">Yuval Noah Harari</t>
        </is>
      </c>
      <c r="C9" s="5" t="inlineStr">
        <is>
          <t xml:space="preserve">History</t>
        </is>
      </c>
      <c r="D9" s="5">
        <v>0</v>
      </c>
      <c r="E9" s="22" t="b">
        <v>0</v>
      </c>
    </row>
    <row r="10">
      <c r="A10" s="7"/>
      <c r="B10" s="7"/>
      <c r="C10" s="7"/>
      <c r="D10" s="7">
        <v>0</v>
      </c>
      <c r="E10" s="24" t="b">
        <v>0</v>
      </c>
    </row>
    <row r="11">
      <c r="A11" s="5"/>
      <c r="B11" s="5"/>
      <c r="C11" s="5"/>
      <c r="D11" s="5">
        <v>0</v>
      </c>
      <c r="E11" s="22" t="b">
        <v>0</v>
      </c>
    </row>
    <row r="12">
      <c r="A12" s="7"/>
      <c r="B12" s="7"/>
      <c r="C12" s="7"/>
      <c r="D12" s="7">
        <v>0</v>
      </c>
      <c r="E12" s="24" t="b">
        <v>0</v>
      </c>
    </row>
    <row r="13">
      <c r="A13" s="5"/>
      <c r="B13" s="5"/>
      <c r="C13" s="5"/>
      <c r="D13" s="5">
        <v>0</v>
      </c>
      <c r="E13" s="22" t="b">
        <v>0</v>
      </c>
    </row>
    <row r="14">
      <c r="A14" s="7"/>
      <c r="B14" s="7"/>
      <c r="C14" s="7"/>
      <c r="D14" s="7">
        <v>0</v>
      </c>
      <c r="E14" s="24" t="b">
        <v>0</v>
      </c>
    </row>
    <row r="15">
      <c r="A15" s="5"/>
      <c r="B15" s="5"/>
      <c r="C15" s="5"/>
      <c r="D15" s="5">
        <v>0</v>
      </c>
      <c r="E15" s="22" t="b">
        <v>0</v>
      </c>
    </row>
    <row r="16">
      <c r="A16" s="7"/>
      <c r="B16" s="7"/>
      <c r="C16" s="7"/>
      <c r="D16" s="7">
        <v>0</v>
      </c>
      <c r="E16" s="24" t="b">
        <v>0</v>
      </c>
    </row>
    <row r="17">
      <c r="A17" s="5"/>
      <c r="B17" s="5"/>
      <c r="C17" s="5"/>
      <c r="D17" s="5">
        <v>0</v>
      </c>
      <c r="E17" s="22" t="b">
        <v>0</v>
      </c>
    </row>
    <row r="18">
      <c r="A18" s="7"/>
      <c r="B18" s="7"/>
      <c r="C18" s="7"/>
      <c r="D18" s="7">
        <v>0</v>
      </c>
      <c r="E18" s="24" t="b">
        <v>0</v>
      </c>
    </row>
    <row r="19">
      <c r="A19" s="5"/>
      <c r="B19" s="5"/>
      <c r="C19" s="5"/>
      <c r="D19" s="5">
        <v>0</v>
      </c>
      <c r="E19" s="22" t="b">
        <v>0</v>
      </c>
    </row>
    <row r="20">
      <c r="A20" s="7"/>
      <c r="B20" s="7"/>
      <c r="C20" s="7"/>
      <c r="D20" s="7">
        <v>0</v>
      </c>
      <c r="E20" s="24" t="b">
        <v>0</v>
      </c>
    </row>
    <row r="21">
      <c r="A21" s="5"/>
      <c r="B21" s="5"/>
      <c r="C21" s="5"/>
      <c r="D21" s="5">
        <v>0</v>
      </c>
      <c r="E21" s="22" t="b">
        <v>0</v>
      </c>
    </row>
    <row r="22">
      <c r="A22" s="7"/>
      <c r="B22" s="7"/>
      <c r="C22" s="7"/>
      <c r="D22" s="7">
        <v>0</v>
      </c>
      <c r="E22" s="24" t="b">
        <v>0</v>
      </c>
    </row>
    <row r="23">
      <c r="A23" s="5"/>
      <c r="B23" s="5"/>
      <c r="C23" s="5"/>
      <c r="D23" s="5">
        <v>0</v>
      </c>
      <c r="E23" s="22" t="b">
        <v>0</v>
      </c>
    </row>
    <row r="24">
      <c r="A24" s="7"/>
      <c r="B24" s="7"/>
      <c r="C24" s="7"/>
      <c r="D24" s="7">
        <v>0</v>
      </c>
      <c r="E24" s="24" t="b">
        <v>0</v>
      </c>
    </row>
  </sheetData>
  <mergeCells count="1">
    <mergeCell ref="A1:E1"/>
  </mergeCells>
  <dataValidations count="1">
    <dataValidation type="list" allowBlank="1" showErrorMessage="1" sqref="C5:C24">
      <formula1>"Fantasy,History,Memoir,Mystery,Romance,Science Fiction,Thriller"</formula1>
    </dataValidation>
  </dataValidations>
  <extLst>
    <ext xmlns:fig="https://github.com/tariknaeem/Figures/controls" uri="{3F1D8C2A-6B4E-4E8F-9A7C-2D5B1E0F4A6C}">
      <fig:controls>
        <fig:control sqref="D5:D24" type="rating"/>
        <fig:control sqref="E5:E24" type="checkbox"/>
      </fig:controls>
    </ext>
  </extLst>
</worksheet>
</file>