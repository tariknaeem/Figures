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Lookups" sheetId="2" r:id="rId2"/>
  </sheets>
  <definedNames>
    <definedName name="_xlnm._FilterDatabase" localSheetId="0" hidden="1">'Budget'!$A$4:$G$12</definedName>
    <definedName name="TaxRate">Lookups!$G$1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dddd, mmmm d, yyyy"/>
  </numFmts>
  <fonts count="6">
    <font>
      <sz val="11"/>
      <name val="Calibri"/>
    </font>
    <font>
      <b/>
      <sz val="18"/>
      <color rgb="FF44546A"/>
      <name val="Calibri"/>
    </font>
    <font>
      <i/>
      <sz val="11"/>
      <color rgb="FF7F7F7F"/>
      <name val="Calibri"/>
    </font>
    <font>
      <b/>
      <sz val="11"/>
      <color rgb="FFFFFFFF"/>
      <name val="Calibri"/>
    </font>
    <font>
      <sz val="11"/>
      <color rgb="FF59595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F5597"/>
      </bottom>
      <diagonal/>
    </border>
    <border>
      <left/>
      <right/>
      <top style="thin">
        <color rgb="FF4472C4"/>
      </top>
      <bottom style="double">
        <color rgb="FF4472C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44" fontId="0" fillId="0" borderId="0" xfId="0" applyNumberFormat="1"/>
    <xf numFmtId="164" fontId="0" fillId="0" borderId="0" xfId="0" applyNumberFormat="1"/>
    <xf numFmtId="49" fontId="4" fillId="0" borderId="0" xfId="0" applyNumberFormat="1" applyFont="1" applyAlignment="1">
      <alignment wrapText="1"/>
    </xf>
    <xf numFmtId="0" fontId="0" fillId="3" borderId="0" xfId="0" applyFill="1"/>
    <xf numFmtId="0" fontId="5" fillId="0" borderId="2" xfId="0" applyFont="1" applyBorder="1"/>
    <xf numFmtId="44" fontId="5" fillId="0" borderId="2" xfId="0" applyNumberFormat="1" applyFont="1" applyBorder="1"/>
    <xf numFmtId="9" fontId="5" fillId="0" borderId="2" xfId="0" applyNumberFormat="1" applyFont="1" applyBorder="1"/>
    <xf numFmtId="165" fontId="0" fillId="0" borderId="0" xfId="0" applyNumberFormat="1"/>
    <xf numFmtId="166" fontId="0" fillId="0" borderId="0" xfId="0" applyNumberFormat="1"/>
    <xf numFmtId="0" fontId="5" fillId="0" borderId="3" xfId="0" applyFont="1" applyBorder="1"/>
    <xf numFmtId="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5.0" customWidth="1"/>
    <col min="2" max="2" width="10.71" customWidth="1"/>
    <col min="3" max="3" width="13.0" customWidth="1"/>
    <col min="4" max="4" width="13.0" customWidth="1"/>
    <col min="5" max="5" width="13.0" customWidth="1"/>
    <col min="6" max="6" width="7.86" customWidth="1"/>
    <col min="7" max="7" width="30.71" customWidth="1"/>
  </cols>
  <sheetData>
    <row r="1" ht="32" customHeight="1">
      <c r="A1" s="1" t="inlineStr">
        <is>
          <t xml:space="preserve">Household Budget 2026</t>
        </is>
      </c>
    </row>
    <row r="2">
      <c r="A2" s="2" t="inlineStr">
        <is>
          <t xml:space="preserve">Planned against actual spending, by category</t>
        </is>
      </c>
    </row>
    <row r="4">
      <c r="A4" s="3" t="inlineStr">
        <is>
          <t xml:space="preserve">Item</t>
        </is>
      </c>
      <c r="B4" s="3" t="inlineStr">
        <is>
          <t xml:space="preserve">Category</t>
        </is>
      </c>
      <c r="C4" s="4" t="inlineStr">
        <is>
          <t xml:space="preserve">Budget</t>
        </is>
      </c>
      <c r="D4" s="4" t="inlineStr">
        <is>
          <t xml:space="preserve">Actual</t>
        </is>
      </c>
      <c r="E4" s="4" t="inlineStr">
        <is>
          <t xml:space="preserve">Difference</t>
        </is>
      </c>
      <c r="F4" s="4" t="inlineStr">
        <is>
          <t xml:space="preserve">Share</t>
        </is>
      </c>
      <c r="G4" s="3" t="inlineStr">
        <is>
          <t xml:space="preserve">Notes</t>
        </is>
      </c>
    </row>
    <row r="5">
      <c r="A5" t="inlineStr">
        <is>
          <t xml:space="preserve">Rent</t>
        </is>
      </c>
      <c r="B5" t="inlineStr">
        <is>
          <t xml:space="preserve">Home</t>
        </is>
      </c>
      <c r="C5" s="5">
        <v>1800</v>
      </c>
      <c r="D5" s="5">
        <v>1800</v>
      </c>
      <c r="E5" s="5">
        <f>C5-D5</f>
        <v>0</v>
      </c>
      <c r="F5" s="6">
        <f>D5/$D$13</f>
        <v>0.4001823052724019</v>
      </c>
      <c r="G5" s="7" t="inlineStr">
        <is>
          <t xml:space="preserve">Due on the 1st</t>
        </is>
      </c>
    </row>
    <row r="6">
      <c r="A6" s="8" t="inlineStr">
        <is>
          <t xml:space="preserve">Groceries</t>
        </is>
      </c>
      <c r="B6" s="8" t="inlineStr">
        <is>
          <t xml:space="preserve">Food</t>
        </is>
      </c>
      <c r="C6" s="5">
        <v>650</v>
      </c>
      <c r="D6" s="5">
        <v>712.4</v>
      </c>
      <c r="E6" s="5">
        <f>C6-D6</f>
        <v>-62.39999999999998</v>
      </c>
      <c r="F6" s="6">
        <f>D6/$D$13</f>
        <v>0.1583832634866995</v>
      </c>
      <c r="G6" s="7" t="inlineStr">
        <is>
          <t xml:space="preserve">Includes the weekly farmers market and one big monthly shop</t>
        </is>
      </c>
    </row>
    <row r="7">
      <c r="A7" t="inlineStr">
        <is>
          <t xml:space="preserve">Utilities</t>
        </is>
      </c>
      <c r="B7" t="inlineStr">
        <is>
          <t xml:space="preserve">Home</t>
        </is>
      </c>
      <c r="C7" s="5">
        <v>220</v>
      </c>
      <c r="D7" s="5">
        <v>198.75</v>
      </c>
      <c r="E7" s="5">
        <f>C7-D7</f>
        <v>21.25</v>
      </c>
      <c r="F7" s="6">
        <f>D7/$D$13</f>
        <v>0.04418679620716104</v>
      </c>
      <c r="G7" s="7"/>
    </row>
    <row r="8">
      <c r="A8" s="8" t="inlineStr">
        <is>
          <t xml:space="preserve">Transport</t>
        </is>
      </c>
      <c r="B8" s="8" t="inlineStr">
        <is>
          <t xml:space="preserve">Travel</t>
        </is>
      </c>
      <c r="C8" s="5">
        <v>300</v>
      </c>
      <c r="D8" s="5">
        <v>341.2</v>
      </c>
      <c r="E8" s="5">
        <f>C8-D8</f>
        <v>-41.19999999999999</v>
      </c>
      <c r="F8" s="6">
        <f>D8/$D$13</f>
        <v>0.07585677919941307</v>
      </c>
      <c r="G8" s="7" t="inlineStr">
        <is>
          <t xml:space="preserve">Fuel went up in March</t>
        </is>
      </c>
    </row>
    <row r="9">
      <c r="A9" t="inlineStr">
        <is>
          <t xml:space="preserve">Dining out</t>
        </is>
      </c>
      <c r="B9" t="inlineStr">
        <is>
          <t xml:space="preserve">Food</t>
        </is>
      </c>
      <c r="C9" s="5">
        <v>250</v>
      </c>
      <c r="D9" s="5">
        <v>305.6</v>
      </c>
      <c r="E9" s="5">
        <f>C9-D9</f>
        <v>-55.60000000000002</v>
      </c>
      <c r="F9" s="6">
        <f>D9/$D$13</f>
        <v>0.06794206249513668</v>
      </c>
      <c r="G9" s="7"/>
    </row>
    <row r="10">
      <c r="A10" s="8" t="inlineStr">
        <is>
          <t xml:space="preserve">Insurance</t>
        </is>
      </c>
      <c r="B10" s="8" t="inlineStr">
        <is>
          <t xml:space="preserve">Home</t>
        </is>
      </c>
      <c r="C10" s="5">
        <v>180</v>
      </c>
      <c r="D10" s="5">
        <v>180</v>
      </c>
      <c r="E10" s="5">
        <f>C10-D10</f>
        <v>0</v>
      </c>
      <c r="F10" s="6">
        <f>D10/$D$13</f>
        <v>0.04001823052724019</v>
      </c>
      <c r="G10" s="7" t="inlineStr">
        <is>
          <t xml:space="preserve">Annual premium split monthly</t>
        </is>
      </c>
    </row>
    <row r="11">
      <c r="A11" t="inlineStr">
        <is>
          <t xml:space="preserve">Gym</t>
        </is>
      </c>
      <c r="B11" t="inlineStr">
        <is>
          <t xml:space="preserve">Health</t>
        </is>
      </c>
      <c r="C11" s="5">
        <v>60</v>
      </c>
      <c r="D11" s="5">
        <v>60</v>
      </c>
      <c r="E11" s="5">
        <f>C11-D11</f>
        <v>0</v>
      </c>
      <c r="F11" s="6">
        <f>D11/$D$13</f>
        <v>0.013339410175746729</v>
      </c>
      <c r="G11" s="7"/>
    </row>
    <row r="12">
      <c r="A12" s="8" t="inlineStr">
        <is>
          <t xml:space="preserve">Savings</t>
        </is>
      </c>
      <c r="B12" s="8" t="inlineStr">
        <is>
          <t xml:space="preserve">Future</t>
        </is>
      </c>
      <c r="C12" s="5">
        <v>900</v>
      </c>
      <c r="D12" s="5">
        <v>900</v>
      </c>
      <c r="E12" s="5">
        <f>C12-D12</f>
        <v>0</v>
      </c>
      <c r="F12" s="6">
        <f>D12/$D$13</f>
        <v>0.20009115263620095</v>
      </c>
      <c r="G12" s="7" t="inlineStr">
        <is>
          <t xml:space="preserve">Automatic transfer</t>
        </is>
      </c>
    </row>
    <row r="13">
      <c r="A13" s="9" t="inlineStr">
        <is>
          <t xml:space="preserve">Total</t>
        </is>
      </c>
      <c r="B13" s="9"/>
      <c r="C13" s="10">
        <f>SUBTOTAL(9,C5:C12)</f>
        <v>4360</v>
      </c>
      <c r="D13" s="10">
        <f>SUBTOTAL(9,D5:D12)</f>
        <v>4497.95</v>
      </c>
      <c r="E13" s="10">
        <f>SUBTOTAL(9,E5:E12)</f>
        <v>-137.95</v>
      </c>
      <c r="F13" s="11">
        <f>SUM(F5:F12)</f>
        <v>0.9999999999999999</v>
      </c>
      <c r="G13" s="9"/>
    </row>
    <row r="15">
      <c r="A15" t="inlineStr">
        <is>
          <t xml:space="preserve">Largest overspend</t>
        </is>
      </c>
      <c r="C15" t="str">
        <f>INDEX(A5:A12,MATCH(MIN(E5:E12),E5:E12,0))</f>
        <v>Groceries</v>
      </c>
    </row>
    <row r="16">
      <c r="A16" t="inlineStr">
        <is>
          <t xml:space="preserve">Food spending</t>
        </is>
      </c>
      <c r="C16" s="12">
        <f>SUMIFS(D5:D12,B5:B12,"Food")</f>
        <v>1018</v>
      </c>
    </row>
    <row r="17">
      <c r="A17" t="inlineStr">
        <is>
          <t xml:space="preserve">Report date</t>
        </is>
      </c>
      <c r="C17" s="13">
        <v>46313</v>
      </c>
    </row>
  </sheetData>
  <autoFilter ref="A4:G12"/>
  <mergeCells count="1">
    <mergeCell ref="A1:G1"/>
  </mergeCells>
  <conditionalFormatting sqref="E5:E12">
    <cfRule priority="1" dxfId="0" type="cellIs" operator="lessThan">
      <formula>0</formula>
    </cfRule>
  </conditionalFormatting>
  <conditionalFormatting sqref="D5:D12">
    <cfRule priority="2" type="dataBar">
      <dataBar>
        <cfvo type="min"/>
        <cfvo type="max"/>
        <color rgb="FF638EC6"/>
      </dataBar>
    </cfRule>
  </conditionalFormatting>
  <conditionalFormatting sqref="F5:F12">
    <cfRule priority="3" type="colorScale">
      <colorScale>
        <cfvo type="min"/>
        <cfvo type="max"/>
        <color rgb="FFFCFCFF"/>
        <color rgb="FF63BE7B"/>
      </colorScale>
    </cfRule>
  </conditionalFormatting>
</worksheet>
</file>

<file path=xl/worksheets/sheet2.xml><?xml version="1.0" encoding="utf-8"?>
<worksheet xmlns="http://schemas.openxmlformats.org/spreadsheetml/2006/main">
  <sheetFormatPr defaultRowHeight="15"/>
  <cols>
    <col min="1" max="1" width="16.43" customWidth="1"/>
    <col min="4" max="4" width="22.14" customWidth="1"/>
  </cols>
  <sheetData>
    <row r="1">
      <c r="A1" s="14" t="inlineStr">
        <is>
          <t xml:space="preserve">Product</t>
        </is>
      </c>
      <c r="B1" s="14" t="inlineStr">
        <is>
          <t xml:space="preserve">Price</t>
        </is>
      </c>
      <c r="C1" s="14" t="inlineStr">
        <is>
          <t xml:space="preserve">Stock</t>
        </is>
      </c>
      <c r="D1" s="14" t="inlineStr">
        <is>
          <t xml:space="preserve">Value</t>
        </is>
      </c>
      <c r="F1" t="inlineStr">
        <is>
          <t xml:space="preserve">TaxRate</t>
        </is>
      </c>
      <c r="G1" s="15">
        <v>0.08</v>
      </c>
    </row>
    <row r="2">
      <c r="A2" t="inlineStr">
        <is>
          <t xml:space="preserve">Apple</t>
        </is>
      </c>
      <c r="B2" s="12">
        <v>0.5</v>
      </c>
      <c r="C2">
        <v>120</v>
      </c>
      <c r="D2" s="12">
        <f>B2*C2*(1+TaxRate)</f>
        <v>64.80000000000001</v>
      </c>
    </row>
    <row r="3">
      <c r="A3" t="inlineStr">
        <is>
          <t xml:space="preserve">Banana</t>
        </is>
      </c>
      <c r="B3" s="12">
        <v>0.25</v>
      </c>
      <c r="C3">
        <v>300</v>
      </c>
      <c r="D3" s="12">
        <f>B3*C3*(1+TaxRate)</f>
        <v>81</v>
      </c>
    </row>
    <row r="4">
      <c r="A4" t="inlineStr">
        <is>
          <t xml:space="preserve">Cherry</t>
        </is>
      </c>
      <c r="B4" s="12">
        <v>4</v>
      </c>
      <c r="C4">
        <v>18</v>
      </c>
      <c r="D4" s="12">
        <f>B4*C4*(1+TaxRate)</f>
        <v>77.76</v>
      </c>
    </row>
    <row r="5">
      <c r="A5" t="inlineStr">
        <is>
          <t xml:space="preserve">Date</t>
        </is>
      </c>
      <c r="B5" s="12">
        <v>6.5</v>
      </c>
      <c r="C5">
        <v>9</v>
      </c>
      <c r="D5" s="12">
        <f>B5*C5*(1+TaxRate)</f>
        <v>63.18000000000001</v>
      </c>
    </row>
    <row r="8">
      <c r="A8" t="inlineStr">
        <is>
          <t xml:space="preserve">Price of Cherry (XLOOKUP)</t>
        </is>
      </c>
      <c r="D8">
        <f>_xlfn.XLOOKUP("Cherry",A2:A5,B2:B5)</f>
        <v>4</v>
      </c>
    </row>
    <row r="9">
      <c r="A9" t="inlineStr">
        <is>
          <t xml:space="preserve">Products in stock over 50</t>
        </is>
      </c>
      <c r="D9">
        <f>COUNTIFS(C2:C5,"&gt;50")</f>
        <v>2</v>
      </c>
    </row>
    <row r="10">
      <c r="A10" t="inlineStr">
        <is>
          <t xml:space="preserve">Names, joined</t>
        </is>
      </c>
      <c r="D10" t="str">
        <f>_xlfn.TEXTJOIN(", ",TRUE,A2:A5)</f>
        <v>Apple, Banana, Cherry, Date</v>
      </c>
    </row>
    <row r="11">
      <c r="A11" t="inlineStr">
        <is>
          <t xml:space="preserve">Stock value with tax</t>
        </is>
      </c>
      <c r="D11" s="12">
        <f>SUM(D2:D5)</f>
        <v>286.74</v>
      </c>
    </row>
    <row r="12">
      <c r="A12" t="inlineStr">
        <is>
          <t xml:space="preserve">Monthly payment on $20,000 at 6% over 5 years</t>
        </is>
      </c>
      <c r="D12" s="12">
        <f>PMT(6%/12,60,-20000)</f>
        <v>386.6560305885654</v>
      </c>
    </row>
  </sheetData>
</worksheet>
</file>